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<sst xmlns="http://schemas.openxmlformats.org/spreadsheetml/2006/main" count="11" uniqueCount="11">
  <si>
    <t>Azimuth</t>
  </si>
  <si>
    <t>Height</t>
  </si>
  <si>
    <t>Effective Sun Angle</t>
  </si>
  <si>
    <t>Perfect Angle</t>
  </si>
  <si>
    <t>Max open East</t>
  </si>
  <si>
    <t>Max West Backside</t>
  </si>
  <si>
    <t>Max open West</t>
  </si>
  <si>
    <t>Correction Perpendicular angle</t>
  </si>
  <si>
    <t>PointDitection</t>
  </si>
  <si>
    <t>Effective Slat Ratio</t>
  </si>
  <si>
    <t>Slat Thinkness offset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</si>
</sst>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" xfId="0" applyAlignment="1" applyFont="1" applyNumberFormat="1">
      <alignment readingOrder="0"/>
    </xf>
    <xf borderId="0" fillId="0" fontId="1" numFmtId="1" xfId="0" applyFont="1" applyNumberFormat="1"/>
    <xf borderId="0" fillId="0" fontId="1" numFmtId="164" xfId="0" applyFont="1" applyNumberFormat="1"/>
    <xf borderId="0" fillId="0" fontId="1" numFmtId="9" xfId="0" applyFont="1" applyNumberFormat="1"/>
    <xf borderId="0" fillId="0" fontId="1" numFmtId="10" xfId="0" applyFont="1" applyNumberFormat="1"/>
  </cellXfs>
  <cellStyles count="1">
    <cellStyle xfId="0" name="Normal" builtinId="0"/>
  </cellStyles>
  <dxfs count="4">
    <dxf>
      <font>
        <color rgb="FFFF0000"/>
      </font>
      <fill>
        <patternFill patternType="solid">
          <fgColor theme="0"/>
          <bgColor theme="0"/>
        </patternFill>
      </fill>
      <border/>
    </dxf>
    <dxf>
      <font>
        <b/>
        <color rgb="FF38761D"/>
      </font>
      <fill>
        <patternFill patternType="solid">
          <fgColor rgb="FFFFFFFF"/>
          <bgColor rgb="FFFFFFFF"/>
        </patternFill>
      </fill>
      <border/>
    </dxf>
    <dxf>
      <font>
        <color rgb="FFB7B7B7"/>
      </font>
      <fill>
        <patternFill patternType="solid">
          <fgColor rgb="FFFFFFFF"/>
          <bgColor rgb="FFFFFFFF"/>
        </patternFill>
      </fill>
      <border/>
    </dxf>
    <dxf>
      <font>
        <color rgb="FFD9D9D9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Sheet2!$A$1:$A$11</c:f>
            </c:strRef>
          </c:cat>
          <c:val>
            <c:numRef>
              <c:f>Sheet2!$B$1:$B$11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Sheet2!$A$1:$A$11</c:f>
            </c:strRef>
          </c:cat>
          <c:val>
            <c:numRef>
              <c:f>Sheet2!$C$1:$C$11</c:f>
              <c:numCache/>
            </c:numRef>
          </c:val>
          <c:smooth val="0"/>
        </c:ser>
        <c:axId val="1828252470"/>
        <c:axId val="1167321850"/>
      </c:lineChart>
      <c:catAx>
        <c:axId val="1828252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321850"/>
      </c:catAx>
      <c:valAx>
        <c:axId val="1167321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252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704850</xdr:colOff>
      <xdr:row>6</xdr:row>
      <xdr:rowOff>123825</xdr:rowOff>
    </xdr:from>
    <xdr:ext cx="62865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5"/>
    <col customWidth="1" min="6" max="7" width="27.38"/>
    <col customWidth="1" min="8" max="8" width="26.13"/>
    <col customWidth="1" min="11" max="11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</row>
    <row r="2">
      <c r="A2" s="1">
        <v>204.0</v>
      </c>
      <c r="B2" s="1">
        <v>28.5</v>
      </c>
      <c r="C2" s="2">
        <f t="shared" ref="C2:C13" si="1">if(A2-$J$2 = 0,90,DEGREES(atan(tan(RADIANS(B2))/SIN(RADIANS(A2-$J$2)))))</f>
        <v>90</v>
      </c>
      <c r="D2" s="2">
        <f t="shared" ref="D2:D13" si="2">DEGREES(ATAN((SIN(RADIANS($A2-$J$2)))/TAN(RADIANS($B2))))</f>
        <v>0</v>
      </c>
      <c r="E2" s="2">
        <f t="shared" ref="E2:E13" si="3">(ABS(C2)+$L$8-180+DEGREES(ASIN($L$7*SIN(RADIANS(ABS(C2))))))*-1*sign(C2)</f>
        <v>14.65090876</v>
      </c>
      <c r="F2" s="2">
        <f t="shared" ref="F2:F13" si="4">(ABS(C2)+$L$8-DEGREES(ASIN($L$7*SIN(RADIANS(ABS(C2))))))*-1*sign(C2)</f>
        <v>-31.71243998</v>
      </c>
      <c r="G2" s="2">
        <f t="shared" ref="G2:G13" si="5">(180 - ABS(C2)-$L$8-DEGREES(ASIN($L$7*SIN(RADIANS(ABS(C2))))))*sign(C2)</f>
        <v>14.65090876</v>
      </c>
      <c r="H2" s="2">
        <f t="shared" ref="H2:H13" si="6">if(D2&lt;=-58,D2+180,if(D2&gt;=0, D2,-1))</f>
        <v>0</v>
      </c>
      <c r="J2" s="1">
        <v>204.0</v>
      </c>
    </row>
    <row r="3">
      <c r="A3" s="1">
        <v>102.0</v>
      </c>
      <c r="B3" s="1">
        <v>31.0</v>
      </c>
      <c r="C3" s="2">
        <f t="shared" si="1"/>
        <v>-31.56174896</v>
      </c>
      <c r="D3" s="2">
        <f t="shared" si="2"/>
        <v>-58.43825104</v>
      </c>
      <c r="E3" s="2">
        <f t="shared" si="3"/>
        <v>-111.1464812</v>
      </c>
      <c r="F3" s="2">
        <f t="shared" si="4"/>
        <v>11.33151033</v>
      </c>
      <c r="G3" s="2">
        <f t="shared" si="5"/>
        <v>-111.1464812</v>
      </c>
      <c r="H3" s="2">
        <f t="shared" si="6"/>
        <v>121.561749</v>
      </c>
      <c r="I3" s="2">
        <f t="shared" ref="I3:I13" si="7">H3/122*100</f>
        <v>99.64077784</v>
      </c>
    </row>
    <row r="4">
      <c r="A4" s="1">
        <v>110.0</v>
      </c>
      <c r="B4" s="1">
        <v>33.0</v>
      </c>
      <c r="C4" s="2">
        <f t="shared" si="1"/>
        <v>-33.063861</v>
      </c>
      <c r="D4" s="2">
        <f t="shared" si="2"/>
        <v>-56.936139</v>
      </c>
      <c r="E4" s="2">
        <f t="shared" si="3"/>
        <v>-108.3044574</v>
      </c>
      <c r="F4" s="2">
        <f t="shared" si="4"/>
        <v>11.49371058</v>
      </c>
      <c r="G4" s="2">
        <f t="shared" si="5"/>
        <v>-108.3044574</v>
      </c>
      <c r="H4" s="2">
        <f t="shared" si="6"/>
        <v>-1</v>
      </c>
      <c r="I4" s="2">
        <f t="shared" si="7"/>
        <v>-0.8196721311</v>
      </c>
    </row>
    <row r="5">
      <c r="A5" s="1">
        <v>120.0</v>
      </c>
      <c r="B5" s="1">
        <v>35.0</v>
      </c>
      <c r="C5" s="2">
        <f t="shared" si="1"/>
        <v>-35.14801549</v>
      </c>
      <c r="D5" s="2">
        <f t="shared" si="2"/>
        <v>-54.85198451</v>
      </c>
      <c r="E5" s="2">
        <f t="shared" si="3"/>
        <v>-104.3691148</v>
      </c>
      <c r="F5" s="2">
        <f t="shared" si="4"/>
        <v>11.72667702</v>
      </c>
      <c r="G5" s="2">
        <f t="shared" si="5"/>
        <v>-104.3691148</v>
      </c>
      <c r="H5" s="2">
        <f t="shared" si="6"/>
        <v>-1</v>
      </c>
      <c r="I5" s="2">
        <f t="shared" si="7"/>
        <v>-0.8196721311</v>
      </c>
    </row>
    <row r="6">
      <c r="A6" s="1">
        <v>140.0</v>
      </c>
      <c r="B6" s="1">
        <v>40.0</v>
      </c>
      <c r="C6" s="2">
        <f t="shared" si="1"/>
        <v>-43.03273702</v>
      </c>
      <c r="D6" s="2">
        <f t="shared" si="2"/>
        <v>-46.96726298</v>
      </c>
      <c r="E6" s="2">
        <f t="shared" si="3"/>
        <v>-89.58391855</v>
      </c>
      <c r="F6" s="2">
        <f t="shared" si="4"/>
        <v>12.71092381</v>
      </c>
      <c r="G6" s="2">
        <f t="shared" si="5"/>
        <v>-89.58391855</v>
      </c>
      <c r="H6" s="2">
        <f t="shared" si="6"/>
        <v>-1</v>
      </c>
      <c r="I6" s="2">
        <f t="shared" si="7"/>
        <v>-0.8196721311</v>
      </c>
    </row>
    <row r="7">
      <c r="A7" s="1">
        <v>180.0</v>
      </c>
      <c r="B7" s="1">
        <v>40.0</v>
      </c>
      <c r="C7" s="2">
        <f t="shared" si="1"/>
        <v>-64.13914672</v>
      </c>
      <c r="D7" s="2">
        <f t="shared" si="2"/>
        <v>-25.86085328</v>
      </c>
      <c r="E7" s="2">
        <f t="shared" si="3"/>
        <v>-51.51762692</v>
      </c>
      <c r="F7" s="2">
        <f t="shared" si="4"/>
        <v>16.85745159</v>
      </c>
      <c r="G7" s="2">
        <f t="shared" si="5"/>
        <v>-51.51762692</v>
      </c>
      <c r="H7" s="2">
        <f t="shared" si="6"/>
        <v>-1</v>
      </c>
      <c r="I7" s="2">
        <f t="shared" si="7"/>
        <v>-0.8196721311</v>
      </c>
      <c r="K7" s="1" t="s">
        <v>9</v>
      </c>
      <c r="L7" s="2">
        <f>SQRT(20^2+3^2)/22</f>
        <v>0.9192612916</v>
      </c>
    </row>
    <row r="8">
      <c r="A8" s="1">
        <v>170.0</v>
      </c>
      <c r="B8" s="1">
        <v>45.0</v>
      </c>
      <c r="C8" s="2">
        <f t="shared" si="1"/>
        <v>-60.78638921</v>
      </c>
      <c r="D8" s="2">
        <f t="shared" si="2"/>
        <v>-29.21361079</v>
      </c>
      <c r="E8" s="2">
        <f t="shared" si="3"/>
        <v>-57.32900055</v>
      </c>
      <c r="F8" s="2">
        <f t="shared" si="4"/>
        <v>15.96331018</v>
      </c>
      <c r="G8" s="2">
        <f t="shared" si="5"/>
        <v>-57.32900055</v>
      </c>
      <c r="H8" s="2">
        <f t="shared" si="6"/>
        <v>-1</v>
      </c>
      <c r="I8" s="2">
        <f t="shared" si="7"/>
        <v>-0.8196721311</v>
      </c>
      <c r="K8" s="1" t="s">
        <v>10</v>
      </c>
      <c r="L8" s="2">
        <f>DEGREES(ATAN(3/20))</f>
        <v>8.53076561</v>
      </c>
    </row>
    <row r="9">
      <c r="A9" s="1">
        <v>200.0</v>
      </c>
      <c r="B9" s="1">
        <v>57.0</v>
      </c>
      <c r="C9" s="2">
        <f t="shared" si="1"/>
        <v>-87.40625246</v>
      </c>
      <c r="D9" s="2">
        <f t="shared" si="2"/>
        <v>-2.593747536</v>
      </c>
      <c r="E9" s="2">
        <f t="shared" si="3"/>
        <v>-17.38135107</v>
      </c>
      <c r="F9" s="2">
        <f t="shared" si="4"/>
        <v>29.25538722</v>
      </c>
      <c r="G9" s="2">
        <f t="shared" si="5"/>
        <v>-17.38135107</v>
      </c>
      <c r="H9" s="2">
        <f t="shared" si="6"/>
        <v>-1</v>
      </c>
      <c r="I9" s="2">
        <f t="shared" si="7"/>
        <v>-0.8196721311</v>
      </c>
    </row>
    <row r="10">
      <c r="A10" s="1">
        <v>204.0</v>
      </c>
      <c r="B10" s="1">
        <v>57.0</v>
      </c>
      <c r="C10" s="2">
        <f t="shared" si="1"/>
        <v>90</v>
      </c>
      <c r="D10" s="2">
        <f t="shared" si="2"/>
        <v>0</v>
      </c>
      <c r="E10" s="2">
        <f t="shared" si="3"/>
        <v>14.65090876</v>
      </c>
      <c r="F10" s="2">
        <f t="shared" si="4"/>
        <v>-31.71243998</v>
      </c>
      <c r="G10" s="2">
        <f t="shared" si="5"/>
        <v>14.65090876</v>
      </c>
      <c r="H10" s="2">
        <f t="shared" si="6"/>
        <v>0</v>
      </c>
      <c r="I10" s="2">
        <f t="shared" si="7"/>
        <v>0</v>
      </c>
    </row>
    <row r="11">
      <c r="A11" s="1">
        <v>220.0</v>
      </c>
      <c r="B11" s="1">
        <v>45.0</v>
      </c>
      <c r="C11" s="2">
        <f t="shared" si="1"/>
        <v>74.58980398</v>
      </c>
      <c r="D11" s="2">
        <f t="shared" si="2"/>
        <v>15.41019602</v>
      </c>
      <c r="E11" s="2">
        <f t="shared" si="3"/>
        <v>34.47837277</v>
      </c>
      <c r="F11" s="2">
        <f t="shared" si="4"/>
        <v>-20.71951195</v>
      </c>
      <c r="G11" s="2">
        <f t="shared" si="5"/>
        <v>34.47837277</v>
      </c>
      <c r="H11" s="2">
        <f t="shared" si="6"/>
        <v>15.41019602</v>
      </c>
      <c r="I11" s="2">
        <f t="shared" si="7"/>
        <v>12.63130821</v>
      </c>
    </row>
    <row r="12">
      <c r="A12" s="1">
        <v>240.0</v>
      </c>
      <c r="B12" s="1">
        <v>40.0</v>
      </c>
      <c r="C12" s="2">
        <f t="shared" si="1"/>
        <v>54.98894257</v>
      </c>
      <c r="D12" s="2">
        <f t="shared" si="2"/>
        <v>35.01105743</v>
      </c>
      <c r="E12" s="2">
        <f t="shared" si="3"/>
        <v>67.63694724</v>
      </c>
      <c r="F12" s="2">
        <f t="shared" si="4"/>
        <v>-14.6763636</v>
      </c>
      <c r="G12" s="2">
        <f t="shared" si="5"/>
        <v>67.63694724</v>
      </c>
      <c r="H12" s="2">
        <f t="shared" si="6"/>
        <v>35.01105743</v>
      </c>
      <c r="I12" s="2">
        <f t="shared" si="7"/>
        <v>28.69758806</v>
      </c>
    </row>
    <row r="13">
      <c r="A13" s="1">
        <v>260.0</v>
      </c>
      <c r="B13" s="1">
        <v>30.0</v>
      </c>
      <c r="C13" s="2">
        <f t="shared" si="1"/>
        <v>34.85374895</v>
      </c>
      <c r="D13" s="2">
        <f t="shared" si="2"/>
        <v>55.14625105</v>
      </c>
      <c r="E13" s="2">
        <f t="shared" si="3"/>
        <v>104.9241633</v>
      </c>
      <c r="F13" s="2">
        <f t="shared" si="4"/>
        <v>-11.69319246</v>
      </c>
      <c r="G13" s="2">
        <f t="shared" si="5"/>
        <v>104.9241633</v>
      </c>
      <c r="H13" s="2">
        <f t="shared" si="6"/>
        <v>55.14625105</v>
      </c>
      <c r="I13" s="2">
        <f t="shared" si="7"/>
        <v>45.20184512</v>
      </c>
    </row>
  </sheetData>
  <conditionalFormatting sqref="D2:E13">
    <cfRule type="cellIs" dxfId="0" priority="1" operator="between">
      <formula>-57.99</formula>
      <formula>-0.001</formula>
    </cfRule>
  </conditionalFormatting>
  <conditionalFormatting sqref="F2:G13">
    <cfRule type="cellIs" dxfId="1" priority="2" operator="greaterThan">
      <formula>0</formula>
    </cfRule>
  </conditionalFormatting>
  <conditionalFormatting sqref="E2:E13">
    <cfRule type="cellIs" dxfId="2" priority="3" operator="greaterThanOrEqual">
      <formula>0</formula>
    </cfRule>
  </conditionalFormatting>
  <conditionalFormatting sqref="F2:G13">
    <cfRule type="cellIs" dxfId="3" priority="4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0.0</v>
      </c>
      <c r="B1" s="1">
        <v>0.0</v>
      </c>
      <c r="C1" s="1">
        <v>0.0</v>
      </c>
      <c r="D1" s="4">
        <f>B1/122*100</f>
        <v>0</v>
      </c>
    </row>
    <row r="2">
      <c r="A2" s="3">
        <v>9.0</v>
      </c>
      <c r="B2" s="1">
        <v>3.0</v>
      </c>
      <c r="C2" s="2">
        <f t="shared" ref="C2:C7" si="1">122/100*(A2-5.5)</f>
        <v>4.27</v>
      </c>
      <c r="D2" s="5">
        <f t="shared" ref="D2:D3" si="2">B2/122*100+7</f>
        <v>9.459016393</v>
      </c>
    </row>
    <row r="3">
      <c r="A3" s="3">
        <v>19.0</v>
      </c>
      <c r="B3" s="1">
        <v>15.0</v>
      </c>
      <c r="C3" s="2">
        <f t="shared" si="1"/>
        <v>16.47</v>
      </c>
      <c r="D3" s="5">
        <f t="shared" si="2"/>
        <v>19.29508197</v>
      </c>
    </row>
    <row r="4">
      <c r="A4" s="3">
        <v>29.0</v>
      </c>
      <c r="B4" s="1">
        <v>28.5</v>
      </c>
      <c r="C4" s="2">
        <f t="shared" si="1"/>
        <v>28.67</v>
      </c>
      <c r="D4" s="5">
        <f t="shared" ref="D4:D7" si="3">B4/122*100+5.5</f>
        <v>28.86065574</v>
      </c>
    </row>
    <row r="5">
      <c r="A5" s="3">
        <v>39.0</v>
      </c>
      <c r="B5" s="1">
        <v>41.0</v>
      </c>
      <c r="C5" s="2">
        <f t="shared" si="1"/>
        <v>40.87</v>
      </c>
      <c r="D5" s="5">
        <f t="shared" si="3"/>
        <v>39.10655738</v>
      </c>
    </row>
    <row r="6">
      <c r="A6" s="3">
        <v>50.0</v>
      </c>
      <c r="B6" s="1">
        <v>54.0</v>
      </c>
      <c r="C6" s="2">
        <f t="shared" si="1"/>
        <v>54.29</v>
      </c>
      <c r="D6" s="5">
        <f t="shared" si="3"/>
        <v>49.76229508</v>
      </c>
    </row>
    <row r="7">
      <c r="A7" s="3">
        <v>59.0</v>
      </c>
      <c r="B7" s="1">
        <v>66.0</v>
      </c>
      <c r="C7" s="2">
        <f t="shared" si="1"/>
        <v>65.27</v>
      </c>
      <c r="D7" s="5">
        <f t="shared" si="3"/>
        <v>59.59836066</v>
      </c>
    </row>
    <row r="8">
      <c r="A8" s="3">
        <v>69.0</v>
      </c>
      <c r="B8" s="1">
        <v>84.0</v>
      </c>
      <c r="C8" s="2">
        <f t="shared" ref="C8:C11" si="4">122/100*A8</f>
        <v>84.18</v>
      </c>
      <c r="D8" s="5">
        <f t="shared" ref="D8:D11" si="5">B8/122*100</f>
        <v>68.85245902</v>
      </c>
    </row>
    <row r="9">
      <c r="A9" s="3">
        <v>80.0</v>
      </c>
      <c r="B9" s="1">
        <v>98.0</v>
      </c>
      <c r="C9" s="2">
        <f t="shared" si="4"/>
        <v>97.6</v>
      </c>
      <c r="D9" s="5">
        <f t="shared" si="5"/>
        <v>80.32786885</v>
      </c>
    </row>
    <row r="10">
      <c r="A10" s="3">
        <v>89.0</v>
      </c>
      <c r="B10" s="1">
        <v>109.0</v>
      </c>
      <c r="C10" s="2">
        <f t="shared" si="4"/>
        <v>108.58</v>
      </c>
      <c r="D10" s="5">
        <f t="shared" si="5"/>
        <v>89.3442623</v>
      </c>
    </row>
    <row r="11">
      <c r="A11" s="3">
        <v>100.0</v>
      </c>
      <c r="B11" s="1">
        <v>122.0</v>
      </c>
      <c r="C11" s="2">
        <f t="shared" si="4"/>
        <v>122</v>
      </c>
      <c r="D11" s="5">
        <f t="shared" si="5"/>
        <v>100</v>
      </c>
    </row>
    <row r="12">
      <c r="A12" s="3"/>
    </row>
    <row r="13">
      <c r="A13" s="3"/>
      <c r="B13" s="1">
        <v>21.0</v>
      </c>
      <c r="D13" s="2">
        <f>B13/122*100+5.5</f>
        <v>22.71311475</v>
      </c>
    </row>
    <row r="14">
      <c r="A14" s="3">
        <v>100.0</v>
      </c>
    </row>
    <row r="15">
      <c r="A15" s="3"/>
    </row>
    <row r="16">
      <c r="A16" s="6"/>
    </row>
    <row r="17">
      <c r="A17" s="7"/>
    </row>
  </sheetData>
  <drawing r:id="rId1"/>
</worksheet>
</file>